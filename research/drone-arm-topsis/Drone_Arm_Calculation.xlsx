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am Calculation" sheetId="1" state="visible" r:id="rId3"/>
    <sheet name="TOPSI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<sst xmlns="http://schemas.openxmlformats.org/spreadsheetml/2006/main" count="63" uniqueCount="60">
  <si>
    <t xml:space="preserve">Quadcopter Drone Arm – Cantilever Beam Calculation</t>
  </si>
  <si>
    <t xml:space="preserve">Blue = input (you may change) · Black = formula · Arm modelled as a hollow circular tube fixed at the frame, motor thrust at the free end</t>
  </si>
  <si>
    <t xml:space="preserve">INPUTS</t>
  </si>
  <si>
    <t xml:space="preserve">Outer diameter D (mm)</t>
  </si>
  <si>
    <t xml:space="preserve">Inner diameter d (mm)</t>
  </si>
  <si>
    <t xml:space="preserve">Arm length L (mm)</t>
  </si>
  <si>
    <t xml:space="preserve">Motor maximum thrust (N)</t>
  </si>
  <si>
    <t xml:space="preserve">≈ 1 kg-f per motor (450 mm class, ~1.5 kg drone)</t>
  </si>
  <si>
    <t xml:space="preserve">Safety factor on load</t>
  </si>
  <si>
    <t xml:space="preserve">Design load F (N)</t>
  </si>
  <si>
    <t xml:space="preserve">SECTION PROPERTIES &amp; STRESS</t>
  </si>
  <si>
    <t xml:space="preserve">Area A = π(D²−d²)/4  (mm²)</t>
  </si>
  <si>
    <t xml:space="preserve">Moment of inertia I = π(D⁴−d⁴)/64  (mm⁴)</t>
  </si>
  <si>
    <t xml:space="preserve">Section modulus Z = I/(D/2)  (mm³)</t>
  </si>
  <si>
    <t xml:space="preserve">Max bending moment M = F×L  (N·mm)</t>
  </si>
  <si>
    <t xml:space="preserve">Max bending stress σ = M/Z  (MPa)</t>
  </si>
  <si>
    <t xml:space="preserve">MATERIALS</t>
  </si>
  <si>
    <t xml:space="preserve">Material</t>
  </si>
  <si>
    <t xml:space="preserve">Density ρ (kg/m³)</t>
  </si>
  <si>
    <t xml:space="preserve">Young’s modulus E (GPa)</t>
  </si>
  <si>
    <t xml:space="preserve">Yield / tensile strength (MPa)</t>
  </si>
  <si>
    <t xml:space="preserve">Approx. cost (₹/kg)</t>
  </si>
  <si>
    <t xml:space="preserve">Arm mass m = ρAL (g)</t>
  </si>
  <si>
    <t xml:space="preserve">Tip deflection δ = FL³/3EI (mm)</t>
  </si>
  <si>
    <t xml:space="preserve">Factor of safety = Strength/σ</t>
  </si>
  <si>
    <t xml:space="preserve">Material cost per arm (₹)</t>
  </si>
  <si>
    <t xml:space="preserve">Steel AISI 4130</t>
  </si>
  <si>
    <t xml:space="preserve">Aluminium 6061-T6</t>
  </si>
  <si>
    <t xml:space="preserve">Titanium Ti-6Al-4V</t>
  </si>
  <si>
    <t xml:space="preserve">GFRP (glass/epoxy)</t>
  </si>
  <si>
    <t xml:space="preserve">CFRP (carbon/epoxy)</t>
  </si>
  <si>
    <t xml:space="preserve">Notes:</t>
  </si>
  <si>
    <t xml:space="preserve">Material properties: typical handbook values (ASM Handbook / MatWeb). Composites: typical values for tubes, actual values depend on fibre lay-up.</t>
  </si>
  <si>
    <t xml:space="preserve">Costs: approximate raw-material prices in India (2026) – only used for comparison; update with local supplier quotes if available.</t>
  </si>
  <si>
    <t xml:space="preserve">Strength used: yield strength for metals, tensile strength for composites (composites have no yield point).</t>
  </si>
  <si>
    <t xml:space="preserve">Formulas: Strength of Materials – cantilever with end load: M = F·L, σ = M/Z, δ = F·L³/(3·E·I).</t>
  </si>
  <si>
    <t xml:space="preserve">TOPSIS Ranking of Materials</t>
  </si>
  <si>
    <t xml:space="preserve">TOPSIS = Technique for Order of Preference by Similarity to Ideal Solution. Best material = closest to the ideal best and farthest from the ideal worst.</t>
  </si>
  <si>
    <t xml:space="preserve">Criterion</t>
  </si>
  <si>
    <t xml:space="preserve">Mass (g)</t>
  </si>
  <si>
    <t xml:space="preserve">Deflection (mm)</t>
  </si>
  <si>
    <t xml:space="preserve">Factor of safety</t>
  </si>
  <si>
    <t xml:space="preserve">Cost (₹)</t>
  </si>
  <si>
    <t xml:space="preserve">Sum of weights</t>
  </si>
  <si>
    <t xml:space="preserve">Impact</t>
  </si>
  <si>
    <t xml:space="preserve">Lower is better</t>
  </si>
  <si>
    <t xml:space="preserve">Higher is better</t>
  </si>
  <si>
    <t xml:space="preserve">Weight (importance)</t>
  </si>
  <si>
    <t xml:space="preserve">Weights chosen: mass most important for flight time; weights must add up to 1.</t>
  </si>
  <si>
    <t xml:space="preserve">Step 1: Decision matrix (from Beam Calculation sheet)</t>
  </si>
  <si>
    <t xml:space="preserve">√(sum of squares)</t>
  </si>
  <si>
    <t xml:space="preserve">Step 2–3: Normalised × weight  (value ÷ √sum of squares × weight)</t>
  </si>
  <si>
    <t xml:space="preserve">Step 4: Ideal best (V+)</t>
  </si>
  <si>
    <t xml:space="preserve">Ideal worst (V−)</t>
  </si>
  <si>
    <t xml:space="preserve">Step 5–6: Distances, closeness score and rank</t>
  </si>
  <si>
    <t xml:space="preserve">D+ (distance to best)</t>
  </si>
  <si>
    <t xml:space="preserve">D− (distance to worst)</t>
  </si>
  <si>
    <t xml:space="preserve">Closeness C = D−/(D+ + D−)</t>
  </si>
  <si>
    <t xml:space="preserve">Rank</t>
  </si>
  <si>
    <t xml:space="preserve">Best material: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</si>
</sst>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"/>
    <numFmt numFmtId="167" formatCode="0.000"/>
    <numFmt numFmtId="168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A0D5C"/>
      <name val="Times New Roman"/>
      <family val="0"/>
      <charset val="1"/>
    </font>
    <font>
      <sz val="11"/>
      <color theme="1"/>
      <name val="Times New Roman"/>
      <family val="0"/>
      <charset val="1"/>
    </font>
    <font>
      <i val="true"/>
      <sz val="10"/>
      <name val="Times New Roman"/>
      <family val="0"/>
      <charset val="1"/>
    </font>
    <font>
      <b val="true"/>
      <sz val="11"/>
      <name val="Times New Roman"/>
      <family val="0"/>
      <charset val="1"/>
    </font>
    <font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color rgb="FF008000"/>
      <name val="Times New Roman"/>
      <family val="0"/>
      <charset val="1"/>
    </font>
    <font>
      <b val="true"/>
      <sz val="11"/>
      <color rgb="FF4A1D8C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4A1D8C"/>
        <bgColor rgb="FF2A0D5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A0D5C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4A1D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5" t="s">
        <v>3</v>
      </c>
      <c r="B4" s="6" t="n">
        <v>12</v>
      </c>
      <c r="C4" s="2"/>
      <c r="D4" s="2"/>
      <c r="E4" s="2"/>
      <c r="F4" s="2"/>
      <c r="G4" s="2"/>
      <c r="H4" s="2"/>
      <c r="I4" s="2"/>
    </row>
    <row r="5" customFormat="false" ht="15" hidden="false" customHeight="false" outlineLevel="0" collapsed="false">
      <c r="A5" s="5" t="s">
        <v>4</v>
      </c>
      <c r="B5" s="6" t="n">
        <v>10</v>
      </c>
      <c r="C5" s="2"/>
      <c r="D5" s="2"/>
      <c r="E5" s="2"/>
      <c r="F5" s="2"/>
      <c r="G5" s="2"/>
      <c r="H5" s="2"/>
      <c r="I5" s="2"/>
    </row>
    <row r="6" customFormat="false" ht="15" hidden="false" customHeight="false" outlineLevel="0" collapsed="false">
      <c r="A6" s="5" t="s">
        <v>5</v>
      </c>
      <c r="B6" s="6" t="n">
        <v>200</v>
      </c>
      <c r="C6" s="2"/>
      <c r="D6" s="2"/>
      <c r="E6" s="2"/>
      <c r="F6" s="2"/>
      <c r="G6" s="2"/>
      <c r="H6" s="2"/>
      <c r="I6" s="2"/>
    </row>
    <row r="7" customFormat="false" ht="15" hidden="false" customHeight="false" outlineLevel="0" collapsed="false">
      <c r="A7" s="5" t="s">
        <v>6</v>
      </c>
      <c r="B7" s="6" t="n">
        <v>10</v>
      </c>
      <c r="C7" s="3" t="s">
        <v>7</v>
      </c>
      <c r="D7" s="2"/>
      <c r="E7" s="2"/>
      <c r="F7" s="2"/>
      <c r="G7" s="2"/>
      <c r="H7" s="2"/>
      <c r="I7" s="2"/>
    </row>
    <row r="8" customFormat="false" ht="15" hidden="false" customHeight="false" outlineLevel="0" collapsed="false">
      <c r="A8" s="5" t="s">
        <v>8</v>
      </c>
      <c r="B8" s="6" t="n">
        <v>2</v>
      </c>
      <c r="C8" s="2"/>
      <c r="D8" s="2"/>
      <c r="E8" s="2"/>
      <c r="F8" s="2"/>
      <c r="G8" s="2"/>
      <c r="H8" s="2"/>
      <c r="I8" s="2"/>
    </row>
    <row r="9" customFormat="false" ht="15" hidden="false" customHeight="false" outlineLevel="0" collapsed="false">
      <c r="A9" s="2" t="s">
        <v>9</v>
      </c>
      <c r="B9" s="7" t="n">
        <f aca="false">B7*B8</f>
        <v>20</v>
      </c>
      <c r="C9" s="2"/>
      <c r="D9" s="2"/>
      <c r="E9" s="2"/>
      <c r="F9" s="2"/>
      <c r="G9" s="2"/>
      <c r="H9" s="2"/>
      <c r="I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</row>
    <row r="11" customFormat="false" ht="15" hidden="false" customHeight="false" outlineLevel="0" collapsed="false">
      <c r="A11" s="4" t="s">
        <v>10</v>
      </c>
      <c r="B11" s="2"/>
      <c r="C11" s="2"/>
      <c r="D11" s="2"/>
      <c r="E11" s="2"/>
      <c r="F11" s="2"/>
      <c r="G11" s="2"/>
      <c r="H11" s="2"/>
      <c r="I11" s="2"/>
    </row>
    <row r="12" customFormat="false" ht="15" hidden="false" customHeight="false" outlineLevel="0" collapsed="false">
      <c r="A12" s="5" t="s">
        <v>11</v>
      </c>
      <c r="B12" s="7" t="n">
        <f aca="false">PI()*(B4^2-B5^2)/4</f>
        <v>34.5575191894877</v>
      </c>
      <c r="C12" s="2"/>
      <c r="D12" s="2"/>
      <c r="E12" s="2"/>
      <c r="F12" s="2"/>
      <c r="G12" s="2"/>
      <c r="H12" s="2"/>
      <c r="I12" s="2"/>
    </row>
    <row r="13" customFormat="false" ht="15" hidden="false" customHeight="false" outlineLevel="0" collapsed="false">
      <c r="A13" s="5" t="s">
        <v>12</v>
      </c>
      <c r="B13" s="7" t="n">
        <f aca="false">PI()*(B4^4-B5^4)/64</f>
        <v>527.002167639688</v>
      </c>
      <c r="C13" s="2"/>
      <c r="D13" s="2"/>
      <c r="E13" s="2"/>
      <c r="F13" s="2"/>
      <c r="G13" s="2"/>
      <c r="H13" s="2"/>
      <c r="I13" s="2"/>
    </row>
    <row r="14" customFormat="false" ht="15" hidden="false" customHeight="false" outlineLevel="0" collapsed="false">
      <c r="A14" s="5" t="s">
        <v>13</v>
      </c>
      <c r="B14" s="7" t="n">
        <f aca="false">B13/(B4/2)</f>
        <v>87.8336946066146</v>
      </c>
      <c r="C14" s="2"/>
      <c r="D14" s="2"/>
      <c r="E14" s="2"/>
      <c r="F14" s="2"/>
      <c r="G14" s="2"/>
      <c r="H14" s="2"/>
      <c r="I14" s="2"/>
    </row>
    <row r="15" customFormat="false" ht="15" hidden="false" customHeight="false" outlineLevel="0" collapsed="false">
      <c r="A15" s="5" t="s">
        <v>14</v>
      </c>
      <c r="B15" s="7" t="n">
        <f aca="false">B9*B6</f>
        <v>4000</v>
      </c>
      <c r="C15" s="2"/>
      <c r="D15" s="2"/>
      <c r="E15" s="2"/>
      <c r="F15" s="2"/>
      <c r="G15" s="2"/>
      <c r="H15" s="2"/>
      <c r="I15" s="2"/>
    </row>
    <row r="16" customFormat="false" ht="15" hidden="false" customHeight="false" outlineLevel="0" collapsed="false">
      <c r="A16" s="5" t="s">
        <v>15</v>
      </c>
      <c r="B16" s="7" t="n">
        <f aca="false">B15/B14</f>
        <v>45.5406096477555</v>
      </c>
      <c r="C16" s="2"/>
      <c r="D16" s="2"/>
      <c r="E16" s="2"/>
      <c r="F16" s="2"/>
      <c r="G16" s="2"/>
      <c r="H16" s="2"/>
      <c r="I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</row>
    <row r="18" customFormat="false" ht="15" hidden="false" customHeight="false" outlineLevel="0" collapsed="false">
      <c r="A18" s="4" t="s">
        <v>16</v>
      </c>
      <c r="B18" s="2"/>
      <c r="C18" s="2"/>
      <c r="D18" s="2"/>
      <c r="E18" s="2"/>
      <c r="F18" s="2"/>
      <c r="G18" s="2"/>
      <c r="H18" s="2"/>
      <c r="I18" s="2"/>
    </row>
    <row r="19" customFormat="false" ht="48" hidden="false" customHeight="true" outlineLevel="0" collapsed="false">
      <c r="A19" s="8" t="s">
        <v>17</v>
      </c>
      <c r="B19" s="8" t="s">
        <v>18</v>
      </c>
      <c r="C19" s="8" t="s">
        <v>19</v>
      </c>
      <c r="D19" s="8" t="s">
        <v>20</v>
      </c>
      <c r="E19" s="8" t="s">
        <v>21</v>
      </c>
      <c r="F19" s="8" t="s">
        <v>22</v>
      </c>
      <c r="G19" s="8" t="s">
        <v>23</v>
      </c>
      <c r="H19" s="8" t="s">
        <v>24</v>
      </c>
      <c r="I19" s="8" t="s">
        <v>25</v>
      </c>
    </row>
    <row r="20" customFormat="false" ht="15" hidden="false" customHeight="false" outlineLevel="0" collapsed="false">
      <c r="A20" s="9" t="s">
        <v>26</v>
      </c>
      <c r="B20" s="10" t="n">
        <v>7850</v>
      </c>
      <c r="C20" s="10" t="n">
        <v>205</v>
      </c>
      <c r="D20" s="10" t="n">
        <v>460</v>
      </c>
      <c r="E20" s="10" t="n">
        <v>250</v>
      </c>
      <c r="F20" s="11" t="n">
        <f aca="false">B20*$B$12*$B$6*0.000001</f>
        <v>54.2553051274957</v>
      </c>
      <c r="G20" s="11" t="n">
        <f aca="false">$B$9*$B$6^3/(3*C20*1000*$B$13)</f>
        <v>0.493665145233121</v>
      </c>
      <c r="H20" s="11" t="n">
        <f aca="false">D20/$B$16</f>
        <v>10.1008748797607</v>
      </c>
      <c r="I20" s="12" t="n">
        <f aca="false">F20/1000*E20</f>
        <v>13.5638262818739</v>
      </c>
    </row>
    <row r="21" customFormat="false" ht="15" hidden="false" customHeight="false" outlineLevel="0" collapsed="false">
      <c r="A21" s="9" t="s">
        <v>27</v>
      </c>
      <c r="B21" s="10" t="n">
        <v>2700</v>
      </c>
      <c r="C21" s="10" t="n">
        <v>69</v>
      </c>
      <c r="D21" s="10" t="n">
        <v>276</v>
      </c>
      <c r="E21" s="10" t="n">
        <v>350</v>
      </c>
      <c r="F21" s="11" t="n">
        <f aca="false">B21*$B$12*$B$6*0.000001</f>
        <v>18.6610603623234</v>
      </c>
      <c r="G21" s="11" t="n">
        <f aca="false">$B$9*$B$6^3/(3*C21*1000*$B$13)</f>
        <v>1.46668630105493</v>
      </c>
      <c r="H21" s="11" t="n">
        <f aca="false">D21/$B$16</f>
        <v>6.06052492785641</v>
      </c>
      <c r="I21" s="12" t="n">
        <f aca="false">F21/1000*E21</f>
        <v>6.53137112681318</v>
      </c>
    </row>
    <row r="22" customFormat="false" ht="15" hidden="false" customHeight="false" outlineLevel="0" collapsed="false">
      <c r="A22" s="9" t="s">
        <v>28</v>
      </c>
      <c r="B22" s="10" t="n">
        <v>4430</v>
      </c>
      <c r="C22" s="10" t="n">
        <v>114</v>
      </c>
      <c r="D22" s="10" t="n">
        <v>880</v>
      </c>
      <c r="E22" s="10" t="n">
        <v>3500</v>
      </c>
      <c r="F22" s="11" t="n">
        <f aca="false">B22*$B$12*$B$6*0.000001</f>
        <v>30.6179620018861</v>
      </c>
      <c r="G22" s="11" t="n">
        <f aca="false">$B$9*$B$6^3/(3*C22*1000*$B$13)</f>
        <v>0.887731182217455</v>
      </c>
      <c r="H22" s="11" t="n">
        <f aca="false">D22/$B$16</f>
        <v>19.3234128134552</v>
      </c>
      <c r="I22" s="12" t="n">
        <f aca="false">F22/1000*E22</f>
        <v>107.162867006601</v>
      </c>
    </row>
    <row r="23" customFormat="false" ht="15" hidden="false" customHeight="false" outlineLevel="0" collapsed="false">
      <c r="A23" s="9" t="s">
        <v>29</v>
      </c>
      <c r="B23" s="10" t="n">
        <v>1900</v>
      </c>
      <c r="C23" s="10" t="n">
        <v>25</v>
      </c>
      <c r="D23" s="10" t="n">
        <v>350</v>
      </c>
      <c r="E23" s="10" t="n">
        <v>700</v>
      </c>
      <c r="F23" s="11" t="n">
        <f aca="false">B23*$B$12*$B$6*0.000001</f>
        <v>13.1318572920053</v>
      </c>
      <c r="G23" s="11" t="n">
        <f aca="false">$B$9*$B$6^3/(3*C23*1000*$B$13)</f>
        <v>4.0480541909116</v>
      </c>
      <c r="H23" s="11" t="n">
        <f aca="false">D23/$B$16</f>
        <v>7.68544827807878</v>
      </c>
      <c r="I23" s="12" t="n">
        <f aca="false">F23/1000*E23</f>
        <v>9.19230010440373</v>
      </c>
    </row>
    <row r="24" customFormat="false" ht="15" hidden="false" customHeight="false" outlineLevel="0" collapsed="false">
      <c r="A24" s="9" t="s">
        <v>30</v>
      </c>
      <c r="B24" s="10" t="n">
        <v>1600</v>
      </c>
      <c r="C24" s="10" t="n">
        <v>70</v>
      </c>
      <c r="D24" s="10" t="n">
        <v>600</v>
      </c>
      <c r="E24" s="10" t="n">
        <v>3000</v>
      </c>
      <c r="F24" s="11" t="n">
        <f aca="false">B24*$B$12*$B$6*0.000001</f>
        <v>11.0584061406361</v>
      </c>
      <c r="G24" s="11" t="n">
        <f aca="false">$B$9*$B$6^3/(3*C24*1000*$B$13)</f>
        <v>1.44573363961128</v>
      </c>
      <c r="H24" s="11" t="n">
        <f aca="false">D24/$B$16</f>
        <v>13.1750541909922</v>
      </c>
      <c r="I24" s="12" t="n">
        <f aca="false">F24/1000*E24</f>
        <v>33.1752184219082</v>
      </c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</row>
    <row r="26" customFormat="false" ht="15" hidden="false" customHeight="false" outlineLevel="0" collapsed="false">
      <c r="A26" s="4" t="s">
        <v>31</v>
      </c>
      <c r="B26" s="2"/>
      <c r="C26" s="2"/>
      <c r="D26" s="2"/>
      <c r="E26" s="2"/>
      <c r="F26" s="2"/>
      <c r="G26" s="2"/>
      <c r="H26" s="2"/>
      <c r="I26" s="2"/>
    </row>
    <row r="27" customFormat="false" ht="15" hidden="false" customHeight="false" outlineLevel="0" collapsed="false">
      <c r="A27" s="3" t="s">
        <v>32</v>
      </c>
      <c r="B27" s="2"/>
      <c r="C27" s="2"/>
      <c r="D27" s="2"/>
      <c r="E27" s="2"/>
      <c r="F27" s="2"/>
      <c r="G27" s="2"/>
      <c r="H27" s="2"/>
      <c r="I27" s="2"/>
    </row>
    <row r="28" customFormat="false" ht="15" hidden="false" customHeight="false" outlineLevel="0" collapsed="false">
      <c r="A28" s="3" t="s">
        <v>33</v>
      </c>
      <c r="B28" s="2"/>
      <c r="C28" s="2"/>
      <c r="D28" s="2"/>
      <c r="E28" s="2"/>
      <c r="F28" s="2"/>
      <c r="G28" s="2"/>
      <c r="H28" s="2"/>
      <c r="I28" s="2"/>
    </row>
    <row r="29" customFormat="false" ht="15" hidden="false" customHeight="false" outlineLevel="0" collapsed="false">
      <c r="A29" s="3" t="s">
        <v>34</v>
      </c>
      <c r="B29" s="2"/>
      <c r="C29" s="2"/>
      <c r="D29" s="2"/>
      <c r="E29" s="2"/>
      <c r="F29" s="2"/>
      <c r="G29" s="2"/>
      <c r="H29" s="2"/>
      <c r="I29" s="2"/>
    </row>
    <row r="30" customFormat="false" ht="15" hidden="false" customHeight="false" outlineLevel="0" collapsed="false">
      <c r="A30" s="3" t="s">
        <v>35</v>
      </c>
      <c r="B30" s="2"/>
      <c r="C30" s="2"/>
      <c r="D30" s="2"/>
      <c r="E30" s="2"/>
      <c r="F30" s="2"/>
      <c r="G30" s="2"/>
      <c r="H30" s="2"/>
      <c r="I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36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37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31.5" hidden="false" customHeight="true" outlineLevel="0" collapsed="false">
      <c r="A4" s="8" t="s">
        <v>38</v>
      </c>
      <c r="B4" s="8" t="s">
        <v>39</v>
      </c>
      <c r="C4" s="8" t="s">
        <v>40</v>
      </c>
      <c r="D4" s="8" t="s">
        <v>41</v>
      </c>
      <c r="E4" s="8" t="s">
        <v>42</v>
      </c>
      <c r="F4" s="8" t="s">
        <v>43</v>
      </c>
    </row>
    <row r="5" customFormat="false" ht="15" hidden="false" customHeight="false" outlineLevel="0" collapsed="false">
      <c r="A5" s="2" t="s">
        <v>44</v>
      </c>
      <c r="B5" s="2" t="s">
        <v>45</v>
      </c>
      <c r="C5" s="2" t="s">
        <v>45</v>
      </c>
      <c r="D5" s="2" t="s">
        <v>46</v>
      </c>
      <c r="E5" s="2" t="s">
        <v>45</v>
      </c>
      <c r="F5" s="2"/>
    </row>
    <row r="6" customFormat="false" ht="15" hidden="false" customHeight="false" outlineLevel="0" collapsed="false">
      <c r="A6" s="2" t="s">
        <v>47</v>
      </c>
      <c r="B6" s="13" t="n">
        <v>0.35</v>
      </c>
      <c r="C6" s="13" t="n">
        <v>0.25</v>
      </c>
      <c r="D6" s="13" t="n">
        <v>0.2</v>
      </c>
      <c r="E6" s="13" t="n">
        <v>0.2</v>
      </c>
      <c r="F6" s="7" t="n">
        <f aca="false">SUM(B6:E6)</f>
        <v>1</v>
      </c>
    </row>
    <row r="7" customFormat="false" ht="15" hidden="false" customHeight="false" outlineLevel="0" collapsed="false">
      <c r="A7" s="3" t="s">
        <v>48</v>
      </c>
      <c r="B7" s="2"/>
      <c r="C7" s="2"/>
      <c r="D7" s="2"/>
      <c r="E7" s="2"/>
      <c r="F7" s="2"/>
    </row>
    <row r="8" customFormat="false" ht="15" hidden="false" customHeight="false" outlineLevel="0" collapsed="false">
      <c r="A8" s="4" t="s">
        <v>49</v>
      </c>
      <c r="B8" s="2"/>
      <c r="C8" s="2"/>
      <c r="D8" s="2"/>
      <c r="E8" s="2"/>
      <c r="F8" s="2"/>
    </row>
    <row r="9" customFormat="false" ht="15" hidden="false" customHeight="false" outlineLevel="0" collapsed="false">
      <c r="A9" s="14" t="str">
        <f aca="false">'Beam Calculation'!A20</f>
        <v>Steel AISI 4130</v>
      </c>
      <c r="B9" s="15" t="n">
        <f aca="false">'Beam Calculation'!F20</f>
        <v>54.2553051274957</v>
      </c>
      <c r="C9" s="15" t="n">
        <f aca="false">'Beam Calculation'!G20</f>
        <v>0.493665145233121</v>
      </c>
      <c r="D9" s="15" t="n">
        <f aca="false">'Beam Calculation'!H20</f>
        <v>10.1008748797607</v>
      </c>
      <c r="E9" s="15" t="n">
        <f aca="false">'Beam Calculation'!I20</f>
        <v>13.5638262818739</v>
      </c>
      <c r="F9" s="2"/>
    </row>
    <row r="10" customFormat="false" ht="15" hidden="false" customHeight="false" outlineLevel="0" collapsed="false">
      <c r="A10" s="14" t="str">
        <f aca="false">'Beam Calculation'!A21</f>
        <v>Aluminium 6061-T6</v>
      </c>
      <c r="B10" s="15" t="n">
        <f aca="false">'Beam Calculation'!F21</f>
        <v>18.6610603623234</v>
      </c>
      <c r="C10" s="15" t="n">
        <f aca="false">'Beam Calculation'!G21</f>
        <v>1.46668630105493</v>
      </c>
      <c r="D10" s="15" t="n">
        <f aca="false">'Beam Calculation'!H21</f>
        <v>6.06052492785641</v>
      </c>
      <c r="E10" s="15" t="n">
        <f aca="false">'Beam Calculation'!I21</f>
        <v>6.53137112681318</v>
      </c>
      <c r="F10" s="2"/>
    </row>
    <row r="11" customFormat="false" ht="15" hidden="false" customHeight="false" outlineLevel="0" collapsed="false">
      <c r="A11" s="14" t="str">
        <f aca="false">'Beam Calculation'!A22</f>
        <v>Titanium Ti-6Al-4V</v>
      </c>
      <c r="B11" s="15" t="n">
        <f aca="false">'Beam Calculation'!F22</f>
        <v>30.6179620018861</v>
      </c>
      <c r="C11" s="15" t="n">
        <f aca="false">'Beam Calculation'!G22</f>
        <v>0.887731182217455</v>
      </c>
      <c r="D11" s="15" t="n">
        <f aca="false">'Beam Calculation'!H22</f>
        <v>19.3234128134552</v>
      </c>
      <c r="E11" s="15" t="n">
        <f aca="false">'Beam Calculation'!I22</f>
        <v>107.162867006601</v>
      </c>
      <c r="F11" s="2"/>
    </row>
    <row r="12" customFormat="false" ht="15" hidden="false" customHeight="false" outlineLevel="0" collapsed="false">
      <c r="A12" s="14" t="str">
        <f aca="false">'Beam Calculation'!A23</f>
        <v>GFRP (glass/epoxy)</v>
      </c>
      <c r="B12" s="15" t="n">
        <f aca="false">'Beam Calculation'!F23</f>
        <v>13.1318572920053</v>
      </c>
      <c r="C12" s="15" t="n">
        <f aca="false">'Beam Calculation'!G23</f>
        <v>4.0480541909116</v>
      </c>
      <c r="D12" s="15" t="n">
        <f aca="false">'Beam Calculation'!H23</f>
        <v>7.68544827807878</v>
      </c>
      <c r="E12" s="15" t="n">
        <f aca="false">'Beam Calculation'!I23</f>
        <v>9.19230010440373</v>
      </c>
      <c r="F12" s="2"/>
    </row>
    <row r="13" customFormat="false" ht="15" hidden="false" customHeight="false" outlineLevel="0" collapsed="false">
      <c r="A13" s="14" t="str">
        <f aca="false">'Beam Calculation'!A24</f>
        <v>CFRP (carbon/epoxy)</v>
      </c>
      <c r="B13" s="15" t="n">
        <f aca="false">'Beam Calculation'!F24</f>
        <v>11.0584061406361</v>
      </c>
      <c r="C13" s="15" t="n">
        <f aca="false">'Beam Calculation'!G24</f>
        <v>1.44573363961128</v>
      </c>
      <c r="D13" s="15" t="n">
        <f aca="false">'Beam Calculation'!H24</f>
        <v>13.1750541909922</v>
      </c>
      <c r="E13" s="15" t="n">
        <f aca="false">'Beam Calculation'!I24</f>
        <v>33.1752184219082</v>
      </c>
      <c r="F13" s="2"/>
    </row>
    <row r="14" customFormat="false" ht="15" hidden="false" customHeight="false" outlineLevel="0" collapsed="false">
      <c r="A14" s="2" t="s">
        <v>50</v>
      </c>
      <c r="B14" s="16" t="n">
        <f aca="false">SQRT(SUMSQ(B9:B13))</f>
        <v>67.2611844066229</v>
      </c>
      <c r="C14" s="16" t="n">
        <f aca="false">SQRT(SUMSQ(C9:C13))</f>
        <v>4.65401215323532</v>
      </c>
      <c r="D14" s="16" t="n">
        <f aca="false">SQRT(SUMSQ(D9:D13))</f>
        <v>27.2910257533051</v>
      </c>
      <c r="E14" s="16" t="n">
        <f aca="false">SQRT(SUMSQ(E9:E13))</f>
        <v>113.558838299035</v>
      </c>
      <c r="F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</row>
    <row r="16" customFormat="false" ht="15" hidden="false" customHeight="false" outlineLevel="0" collapsed="false">
      <c r="A16" s="4" t="s">
        <v>51</v>
      </c>
      <c r="B16" s="2"/>
      <c r="C16" s="2"/>
      <c r="D16" s="2"/>
      <c r="E16" s="2"/>
      <c r="F16" s="2"/>
    </row>
    <row r="17" customFormat="false" ht="15" hidden="false" customHeight="false" outlineLevel="0" collapsed="false">
      <c r="A17" s="2" t="str">
        <f aca="false">A9</f>
        <v>Steel AISI 4130</v>
      </c>
      <c r="B17" s="17" t="n">
        <f aca="false">B9/B$14*B$6</f>
        <v>0.282322664433392</v>
      </c>
      <c r="C17" s="17" t="n">
        <f aca="false">C9/C$14*C$6</f>
        <v>0.0265182561292809</v>
      </c>
      <c r="D17" s="17" t="n">
        <f aca="false">D9/D$14*D$6</f>
        <v>0.0740234168628669</v>
      </c>
      <c r="E17" s="17" t="n">
        <f aca="false">E9/E$14*E$6</f>
        <v>0.0238886316292815</v>
      </c>
      <c r="F17" s="2"/>
    </row>
    <row r="18" customFormat="false" ht="15" hidden="false" customHeight="false" outlineLevel="0" collapsed="false">
      <c r="A18" s="2" t="str">
        <f aca="false">A10</f>
        <v>Aluminium 6061-T6</v>
      </c>
      <c r="B18" s="17" t="n">
        <f aca="false">B10/B$14*B$6</f>
        <v>0.0971046106968354</v>
      </c>
      <c r="C18" s="17" t="n">
        <f aca="false">C10/C$14*C$6</f>
        <v>0.0787861232826462</v>
      </c>
      <c r="D18" s="17" t="n">
        <f aca="false">D10/D$14*D$6</f>
        <v>0.0444140501177202</v>
      </c>
      <c r="E18" s="17" t="n">
        <f aca="false">E10/E$14*E$6</f>
        <v>0.0115030608355012</v>
      </c>
      <c r="F18" s="2"/>
    </row>
    <row r="19" customFormat="false" ht="15" hidden="false" customHeight="false" outlineLevel="0" collapsed="false">
      <c r="A19" s="2" t="str">
        <f aca="false">A11</f>
        <v>Titanium Ti-6Al-4V</v>
      </c>
      <c r="B19" s="17" t="n">
        <f aca="false">B11/B$14*B$6</f>
        <v>0.159323490884067</v>
      </c>
      <c r="C19" s="17" t="n">
        <f aca="false">C11/C$14*C$6</f>
        <v>0.0476863377763385</v>
      </c>
      <c r="D19" s="17" t="n">
        <f aca="false">D11/D$14*D$6</f>
        <v>0.141610014868093</v>
      </c>
      <c r="E19" s="17" t="n">
        <f aca="false">E11/E$14*E$6</f>
        <v>0.18873540556026</v>
      </c>
      <c r="F19" s="2"/>
    </row>
    <row r="20" customFormat="false" ht="15" hidden="false" customHeight="false" outlineLevel="0" collapsed="false">
      <c r="A20" s="2" t="str">
        <f aca="false">A12</f>
        <v>GFRP (glass/epoxy)</v>
      </c>
      <c r="B20" s="17" t="n">
        <f aca="false">B12/B$14*B$6</f>
        <v>0.0683328741940694</v>
      </c>
      <c r="C20" s="17" t="n">
        <f aca="false">C12/C$14*C$6</f>
        <v>0.217449700260104</v>
      </c>
      <c r="D20" s="17" t="n">
        <f aca="false">D12/D$14*D$6</f>
        <v>0.0563221650043553</v>
      </c>
      <c r="E20" s="17" t="n">
        <f aca="false">E12/E$14*E$6</f>
        <v>0.0161894930277424</v>
      </c>
      <c r="F20" s="2"/>
    </row>
    <row r="21" customFormat="false" ht="15" hidden="false" customHeight="false" outlineLevel="0" collapsed="false">
      <c r="A21" s="2" t="str">
        <f aca="false">A13</f>
        <v>CFRP (carbon/epoxy)</v>
      </c>
      <c r="B21" s="17" t="n">
        <f aca="false">B13/B$14*B$6</f>
        <v>0.0575434730055321</v>
      </c>
      <c r="C21" s="17" t="n">
        <f aca="false">C13/C$14*C$6</f>
        <v>0.0776606072357513</v>
      </c>
      <c r="D21" s="17" t="n">
        <f aca="false">D13/D$14*D$6</f>
        <v>0.096552282864609</v>
      </c>
      <c r="E21" s="17" t="n">
        <f aca="false">E13/E$14*E$6</f>
        <v>0.0584282455136568</v>
      </c>
      <c r="F21" s="2"/>
    </row>
    <row r="22" customFormat="false" ht="15" hidden="false" customHeight="false" outlineLevel="0" collapsed="false">
      <c r="A22" s="2" t="s">
        <v>52</v>
      </c>
      <c r="B22" s="17" t="n">
        <f aca="false">MIN(B17:B21)</f>
        <v>0.0575434730055321</v>
      </c>
      <c r="C22" s="17" t="n">
        <f aca="false">MIN(C17:C21)</f>
        <v>0.0265182561292809</v>
      </c>
      <c r="D22" s="17" t="n">
        <f aca="false">MAX(D17:D21)</f>
        <v>0.141610014868093</v>
      </c>
      <c r="E22" s="17" t="n">
        <f aca="false">MIN(E17:E21)</f>
        <v>0.0115030608355012</v>
      </c>
      <c r="F22" s="2"/>
    </row>
    <row r="23" customFormat="false" ht="15" hidden="false" customHeight="false" outlineLevel="0" collapsed="false">
      <c r="A23" s="2" t="s">
        <v>53</v>
      </c>
      <c r="B23" s="17" t="n">
        <f aca="false">MAX(B17:B21)</f>
        <v>0.282322664433392</v>
      </c>
      <c r="C23" s="17" t="n">
        <f aca="false">MAX(C17:C21)</f>
        <v>0.217449700260104</v>
      </c>
      <c r="D23" s="17" t="n">
        <f aca="false">MIN(D17:D21)</f>
        <v>0.0444140501177202</v>
      </c>
      <c r="E23" s="17" t="n">
        <f aca="false">MAX(E17:E21)</f>
        <v>0.18873540556026</v>
      </c>
      <c r="F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4" t="s">
        <v>54</v>
      </c>
      <c r="B25" s="2"/>
      <c r="C25" s="2"/>
      <c r="D25" s="2"/>
      <c r="E25" s="2"/>
      <c r="F25" s="2"/>
    </row>
    <row r="26" customFormat="false" ht="39.75" hidden="false" customHeight="true" outlineLevel="0" collapsed="false">
      <c r="A26" s="8" t="s">
        <v>17</v>
      </c>
      <c r="B26" s="8" t="s">
        <v>55</v>
      </c>
      <c r="C26" s="8" t="s">
        <v>56</v>
      </c>
      <c r="D26" s="8" t="s">
        <v>57</v>
      </c>
      <c r="E26" s="8" t="s">
        <v>58</v>
      </c>
      <c r="F26" s="2"/>
    </row>
    <row r="27" customFormat="false" ht="15" hidden="false" customHeight="false" outlineLevel="0" collapsed="false">
      <c r="A27" s="18" t="str">
        <f aca="false">A9</f>
        <v>Steel AISI 4130</v>
      </c>
      <c r="B27" s="19" t="n">
        <f aca="false">SQRT((B17-B$22)^2+(C17-C$22)^2+(D17-D$22)^2+(E17-E$22)^2)</f>
        <v>0.23504687935127</v>
      </c>
      <c r="C27" s="19" t="n">
        <f aca="false">SQRT((B17-B$23)^2+(C17-C$23)^2+(D17-D$23)^2+(E17-E$23)^2)</f>
        <v>0.253980294181224</v>
      </c>
      <c r="D27" s="19" t="n">
        <f aca="false">C27/(B27+C27)</f>
        <v>0.519358244137221</v>
      </c>
      <c r="E27" s="18" t="n">
        <f aca="false">RANK(D27,$D$27:$D$31,0)</f>
        <v>5</v>
      </c>
      <c r="F27" s="2"/>
    </row>
    <row r="28" customFormat="false" ht="15" hidden="false" customHeight="false" outlineLevel="0" collapsed="false">
      <c r="A28" s="18" t="str">
        <f aca="false">A10</f>
        <v>Aluminium 6061-T6</v>
      </c>
      <c r="B28" s="19" t="n">
        <f aca="false">SQRT((B18-B$22)^2+(C18-C$22)^2+(D18-D$22)^2+(E18-E$22)^2)</f>
        <v>0.117235101893366</v>
      </c>
      <c r="C28" s="19" t="n">
        <f aca="false">SQRT((B18-B$23)^2+(C18-C$23)^2+(D18-D$23)^2+(E18-E$23)^2)</f>
        <v>0.291452601681263</v>
      </c>
      <c r="D28" s="19" t="n">
        <f aca="false">C28/(B28+C28)</f>
        <v>0.713142575937673</v>
      </c>
      <c r="E28" s="18" t="n">
        <f aca="false">RANK(D28,$D$27:$D$31,0)</f>
        <v>2</v>
      </c>
      <c r="F28" s="2"/>
    </row>
    <row r="29" customFormat="false" ht="15" hidden="false" customHeight="false" outlineLevel="0" collapsed="false">
      <c r="A29" s="18" t="str">
        <f aca="false">A11</f>
        <v>Titanium Ti-6Al-4V</v>
      </c>
      <c r="B29" s="19" t="n">
        <f aca="false">SQRT((B19-B$22)^2+(C19-C$22)^2+(D19-D$22)^2+(E19-E$22)^2)</f>
        <v>0.205471564301747</v>
      </c>
      <c r="C29" s="19" t="n">
        <f aca="false">SQRT((B19-B$23)^2+(C19-C$23)^2+(D19-D$23)^2+(E19-E$23)^2)</f>
        <v>0.231074558312608</v>
      </c>
      <c r="D29" s="19" t="n">
        <f aca="false">C29/(B29+C29)</f>
        <v>0.529324500533336</v>
      </c>
      <c r="E29" s="18" t="n">
        <f aca="false">RANK(D29,$D$27:$D$31,0)</f>
        <v>4</v>
      </c>
      <c r="F29" s="2"/>
    </row>
    <row r="30" customFormat="false" ht="15" hidden="false" customHeight="false" outlineLevel="0" collapsed="false">
      <c r="A30" s="18" t="str">
        <f aca="false">A12</f>
        <v>GFRP (glass/epoxy)</v>
      </c>
      <c r="B30" s="19" t="n">
        <f aca="false">SQRT((B20-B$22)^2+(C20-C$22)^2+(D20-D$22)^2+(E20-E$22)^2)</f>
        <v>0.209444998787177</v>
      </c>
      <c r="C30" s="19" t="n">
        <f aca="false">SQRT((B20-B$23)^2+(C20-C$23)^2+(D20-D$23)^2+(E20-E$23)^2)</f>
        <v>0.275146370970983</v>
      </c>
      <c r="D30" s="19" t="n">
        <f aca="false">C30/(B30+C30)</f>
        <v>0.567790489352498</v>
      </c>
      <c r="E30" s="18" t="n">
        <f aca="false">RANK(D30,$D$27:$D$31,0)</f>
        <v>3</v>
      </c>
      <c r="F30" s="2"/>
    </row>
    <row r="31" customFormat="false" ht="15" hidden="false" customHeight="false" outlineLevel="0" collapsed="false">
      <c r="A31" s="18" t="str">
        <f aca="false">A13</f>
        <v>CFRP (carbon/epoxy)</v>
      </c>
      <c r="B31" s="19" t="n">
        <f aca="false">SQRT((B21-B$22)^2+(C21-C$22)^2+(D21-D$22)^2+(E21-E$22)^2)</f>
        <v>0.0827509048112122</v>
      </c>
      <c r="C31" s="19" t="n">
        <f aca="false">SQRT((B21-B$23)^2+(C21-C$23)^2+(D21-D$23)^2+(E21-E$23)^2)</f>
        <v>0.29960812188743</v>
      </c>
      <c r="D31" s="19" t="n">
        <f aca="false">C31/(B31+C31)</f>
        <v>0.783578001216034</v>
      </c>
      <c r="E31" s="18" t="n">
        <f aca="false">RANK(D31,$D$27:$D$31,0)</f>
        <v>1</v>
      </c>
      <c r="F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</row>
    <row r="33" customFormat="false" ht="15" hidden="false" customHeight="false" outlineLevel="0" collapsed="false">
      <c r="A33" s="4" t="s">
        <v>59</v>
      </c>
      <c r="B33" s="20" t="str">
        <f aca="false">INDEX(A27:A31,MATCH(1,E27:E31,0))</f>
        <v>CFRP (carbon/epoxy)</v>
      </c>
      <c r="C33" s="2"/>
      <c r="D33" s="2"/>
      <c r="E33" s="2"/>
      <c r="F3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2026-10-07T05:30:06Z</dcterms:created>
  <dc:creator>openpyxl</dc:creator>
  <dc:description/>
  <dc:language>en-US</dc:language>
  <cp:lastModifiedBy/>
  <dcterms:modified xsi:type="dcterms:W3CDTF">2026-10-07T05:30:06Z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